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ex Salles\Apps - desenvolvimento\PrestServBuscaVida\"/>
    </mc:Choice>
  </mc:AlternateContent>
  <xr:revisionPtr revIDLastSave="0" documentId="13_ncr:1_{2E89B657-B218-4679-8C8E-3A9946FA971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estadores" sheetId="1" r:id="rId1"/>
    <sheet name="Instruções" sheetId="2" r:id="rId2"/>
  </sheets>
  <definedNames>
    <definedName name="_xlnm._FilterDatabase" localSheetId="0" hidden="1">Prestadores!$A$1:$H$68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2" i="1"/>
</calcChain>
</file>

<file path=xl/sharedStrings.xml><?xml version="1.0" encoding="utf-8"?>
<sst xmlns="http://schemas.openxmlformats.org/spreadsheetml/2006/main" count="451" uniqueCount="240">
  <si>
    <t>ID (não editar)</t>
  </si>
  <si>
    <t>Nome Atual</t>
  </si>
  <si>
    <t>Nome Corrigido ✏️</t>
  </si>
  <si>
    <t>Categoria</t>
  </si>
  <si>
    <t>Status</t>
  </si>
  <si>
    <t>Telefone</t>
  </si>
  <si>
    <t>WhatsApp</t>
  </si>
  <si>
    <t>dedetizacao-miro</t>
  </si>
  <si>
    <t>MIRO</t>
  </si>
  <si>
    <t>DEDETIZACAO</t>
  </si>
  <si>
    <t>71982691355</t>
  </si>
  <si>
    <t>eletricista-luiz-pequenos-reparos</t>
  </si>
  <si>
    <t>LUIZ ( PEQUENOS REPAROS)</t>
  </si>
  <si>
    <t>ELETRICISTA</t>
  </si>
  <si>
    <t>eletricista-rafael-pequenos-reparos</t>
  </si>
  <si>
    <t>RAFAEL ( PEQUENOS REPAROS)</t>
  </si>
  <si>
    <t>empreitada-jardinagem-edvam-imperial-jardinagem</t>
  </si>
  <si>
    <t>EDVAM ( imperial jardinagem)</t>
  </si>
  <si>
    <t>EMPREITADA JARDINAGEM</t>
  </si>
  <si>
    <t>71983273253</t>
  </si>
  <si>
    <t>empreitada-jardinagem-israel</t>
  </si>
  <si>
    <t>ISRAEL</t>
  </si>
  <si>
    <t>71983341502</t>
  </si>
  <si>
    <t>estofador-de-sofa-paulo-casa-do-sofa-ind-tania-bv</t>
  </si>
  <si>
    <t>PAULO CASA DO SOFA ( IND Tania BV)</t>
  </si>
  <si>
    <t>ESTOFADOR DE SOFA</t>
  </si>
  <si>
    <t>71999212338</t>
  </si>
  <si>
    <t>grafica-oficina-grafica</t>
  </si>
  <si>
    <t>OFICINA GRAFICA</t>
  </si>
  <si>
    <t>GRAFICA</t>
  </si>
  <si>
    <t>71997200055</t>
  </si>
  <si>
    <t>instalacao-de-gas-azul-gas</t>
  </si>
  <si>
    <t>AZUL GAS</t>
  </si>
  <si>
    <t>INSTALACAO DE GAS</t>
  </si>
  <si>
    <t>71988124912</t>
  </si>
  <si>
    <t>instalacao-de-toldos-gisler-ind-fatima-almeida</t>
  </si>
  <si>
    <t>GISLER ( ind fatima almeida)</t>
  </si>
  <si>
    <t>INSTALACAO DE TOLDOS</t>
  </si>
  <si>
    <t>71992993337</t>
  </si>
  <si>
    <t>irrigacao-instalacao-e-manutencao-agnaldo</t>
  </si>
  <si>
    <t>AGNALDO</t>
  </si>
  <si>
    <t>IRRIGACAO ( INSTALACAO E MANUTENCAO)</t>
  </si>
  <si>
    <t>71981308864</t>
  </si>
  <si>
    <t>irrigacao-instalacao-e-manutencao-leonardo</t>
  </si>
  <si>
    <t>LEONARDO</t>
  </si>
  <si>
    <t>manicure-pedicure-podologo-his-e-her</t>
  </si>
  <si>
    <t>HIS E HER</t>
  </si>
  <si>
    <t>MANICURE/PEDICURE/PODOLOGO</t>
  </si>
  <si>
    <t>71988388267</t>
  </si>
  <si>
    <t>manicure-pedicure-podologo-rose</t>
  </si>
  <si>
    <t>ROSE</t>
  </si>
  <si>
    <t>71997135276</t>
  </si>
  <si>
    <t>montador-de-moveis-vinny-ind-feijoada-do-bosque</t>
  </si>
  <si>
    <t>VINNY (ind feijoada do bosque)</t>
  </si>
  <si>
    <t>MONTADOR DE MOVEIS</t>
  </si>
  <si>
    <t>71999648073</t>
  </si>
  <si>
    <t>pedreiro-pintura-obras-gerais-adelmar-jorge-inst-placa-e-gesso-serit</t>
  </si>
  <si>
    <t>ADELMAR JORGE ( INST PLACA E GESSO SERIT )</t>
  </si>
  <si>
    <t>PEDREIRO/PINTURA/OBRAS GERAIS</t>
  </si>
  <si>
    <t>71991252531</t>
  </si>
  <si>
    <t>pedreiro-pintura-obras-gerais-ademilson</t>
  </si>
  <si>
    <t>ADEMILSON</t>
  </si>
  <si>
    <t>71988038396</t>
  </si>
  <si>
    <t>pedreiro-pintura-obras-gerais-almir-ind-rita-campos</t>
  </si>
  <si>
    <t>ALMIR ( ind Rita Campos)</t>
  </si>
  <si>
    <t>71987837501</t>
  </si>
  <si>
    <t>pedreiro-pintura-obras-gerais-elenilson-silva-ind-evelin</t>
  </si>
  <si>
    <t>ELENILSON SILVA ( ind Evelin)</t>
  </si>
  <si>
    <t>71982776914</t>
  </si>
  <si>
    <t>pedreiro-pintura-obras-gerais-junior-ind-elaine</t>
  </si>
  <si>
    <t>JUNIOR ( ind Elaine)</t>
  </si>
  <si>
    <t>71987252036</t>
  </si>
  <si>
    <t>pedreiro-pintura-obras-gerais-kadu</t>
  </si>
  <si>
    <t>KADU</t>
  </si>
  <si>
    <t>71983142815</t>
  </si>
  <si>
    <t>pedreiro-pintura-obras-gerais-leone-ind-agda</t>
  </si>
  <si>
    <t>LEONE ( ind agda)</t>
  </si>
  <si>
    <t>71999467640</t>
  </si>
  <si>
    <t>pedreiro-pintura-obras-gerais-marcio-ind-rita-campos</t>
  </si>
  <si>
    <t>MARCIO (IND Rita Campos)</t>
  </si>
  <si>
    <t>71987651529</t>
  </si>
  <si>
    <t>pedreiro-pintura-obras-gerais-meloni-piscina-ind-benedita</t>
  </si>
  <si>
    <t>MELONI ( Piscina) ind benedita</t>
  </si>
  <si>
    <t>71996551803</t>
  </si>
  <si>
    <t>pedreiro-pintura-obras-gerais-neidson-manutencao-casa-lid-ind-visi</t>
  </si>
  <si>
    <t>NEIDSON MANUTENCAO CASA LID ( ind Visi)</t>
  </si>
  <si>
    <t>71987560562</t>
  </si>
  <si>
    <t>pedreiro-pintura-obras-gerais-osmar-ind-wilson</t>
  </si>
  <si>
    <t>OSMAR ( IND WILSON)</t>
  </si>
  <si>
    <t>7199841752</t>
  </si>
  <si>
    <t>pedreiro-pintura-obras-gerais-wiliam</t>
  </si>
  <si>
    <t>WILIAM</t>
  </si>
  <si>
    <t>75998305022</t>
  </si>
  <si>
    <t>pintor-residencial-carlos-fred</t>
  </si>
  <si>
    <t>CARLOS ( FRED</t>
  </si>
  <si>
    <t>PINTOR RESIDENCIAL</t>
  </si>
  <si>
    <t>pintor-residencial-elenilson</t>
  </si>
  <si>
    <t>ELENILSON</t>
  </si>
  <si>
    <t>pintor-residencial-val</t>
  </si>
  <si>
    <t>VAL</t>
  </si>
  <si>
    <t>71987553037</t>
  </si>
  <si>
    <t>pintor-residencial-vivaldo-ind-agda</t>
  </si>
  <si>
    <t>VIVALDO ( IND AGDA)</t>
  </si>
  <si>
    <t>71991448601</t>
  </si>
  <si>
    <t>piscineiro-adriano-ind-agda</t>
  </si>
  <si>
    <t>ADRIANO ( ind Agda)</t>
  </si>
  <si>
    <t>PISCINEIRO</t>
  </si>
  <si>
    <t>piscineiro-augusto-ind-marina</t>
  </si>
  <si>
    <t>AUGUSTO ( Ind Marina)</t>
  </si>
  <si>
    <t>piscineiro-jailson-jardim-piscina</t>
  </si>
  <si>
    <t>JAILSON ( JARDIM/PISCINA)</t>
  </si>
  <si>
    <t>piscineiro-janilton</t>
  </si>
  <si>
    <t>JANILTON</t>
  </si>
  <si>
    <t>piscineiro-marcos</t>
  </si>
  <si>
    <t>MARCOS</t>
  </si>
  <si>
    <t>poco-artesiano-instalacao-e-manutencao-adao</t>
  </si>
  <si>
    <t>ADAO</t>
  </si>
  <si>
    <t>POCO ARTESIANO ( INSTALACAO E MANUTENCAO)</t>
  </si>
  <si>
    <t>7191774210</t>
  </si>
  <si>
    <t>poco-artesiano-instalacao-e-manutencao-agnaldo</t>
  </si>
  <si>
    <t>981308864</t>
  </si>
  <si>
    <t>poco-artesiano-instalacao-e-manutencao-aliss</t>
  </si>
  <si>
    <t>ALISS</t>
  </si>
  <si>
    <t>71999014952</t>
  </si>
  <si>
    <t>poco-artesiano-instalacao-e-manutencao-carlos</t>
  </si>
  <si>
    <t>CARLOS</t>
  </si>
  <si>
    <t>71983381043</t>
  </si>
  <si>
    <t>poco-artesiano-instalacao-e-manutencao-giancarlos-filho-carlos</t>
  </si>
  <si>
    <t>GIANCARLOS ( FILHO CARLOS)</t>
  </si>
  <si>
    <t>71982040931</t>
  </si>
  <si>
    <t>poco-artesiano-instalacao-e-manutencao-gil</t>
  </si>
  <si>
    <t>GIL</t>
  </si>
  <si>
    <t>poco-artesiano-instalacao-e-manutencao-helder</t>
  </si>
  <si>
    <t>HELDER</t>
  </si>
  <si>
    <t>71986050938</t>
  </si>
  <si>
    <t>poco-artesiano-instalacao-e-manutencao-junior</t>
  </si>
  <si>
    <t>JUNIOR</t>
  </si>
  <si>
    <t>71982149597</t>
  </si>
  <si>
    <t>poco-artesiano-instalacao-e-manutencao-leonardo-helder</t>
  </si>
  <si>
    <t>LEONARDO /HELDER</t>
  </si>
  <si>
    <t>71993556892</t>
  </si>
  <si>
    <t>poco-artesiano-instalacao-e-manutencao-rosalvo</t>
  </si>
  <si>
    <t>ROSALVO</t>
  </si>
  <si>
    <t>71999478458</t>
  </si>
  <si>
    <t>servico-de-carreto-edmilson-ind-marina</t>
  </si>
  <si>
    <t>EDMILSON ( ind Marina)</t>
  </si>
  <si>
    <t>SERVICO DE CARRETO</t>
  </si>
  <si>
    <t>71988995042</t>
  </si>
  <si>
    <t>servico-de-carreto-indio-ind-agda</t>
  </si>
  <si>
    <t>INDIO - ind agda</t>
  </si>
  <si>
    <t>71999598345</t>
  </si>
  <si>
    <t>servico-de-carreto-miranda-saveiro-ind-agda</t>
  </si>
  <si>
    <t>MIRANDA ( saveiro) - ind agda</t>
  </si>
  <si>
    <t>71981758986</t>
  </si>
  <si>
    <t>servico-de-carreto-raimundo-caminhao-pequeno-ind-agda</t>
  </si>
  <si>
    <t>Raimundo ( caminhao pequeno) ind agda</t>
  </si>
  <si>
    <t>71988808837</t>
  </si>
  <si>
    <t>servico-de-entrega-de-gas-sizinho</t>
  </si>
  <si>
    <t>SIZINHO</t>
  </si>
  <si>
    <t>SERVICO DE ENTREGA DE GAS</t>
  </si>
  <si>
    <t>71982000759</t>
  </si>
  <si>
    <t>servicos-de-empresa-especializada-em-carpintaria-fabio-pessimo</t>
  </si>
  <si>
    <t>fabio ( pessimo)</t>
  </si>
  <si>
    <t>SERVICOS DE EMPRESA ESPECIALIZADA EM CARPINTARIA</t>
  </si>
  <si>
    <t>999654041</t>
  </si>
  <si>
    <t>servicos-de-empresa-especializada-em-carpintaria-francisco-cercas</t>
  </si>
  <si>
    <t>FRANCISCO ( cercas)</t>
  </si>
  <si>
    <t>71982821931</t>
  </si>
  <si>
    <t>servicos-de-empresa-especializada-em-carpintaria-nildo-pessimo</t>
  </si>
  <si>
    <t>nildo ( pessimo)</t>
  </si>
  <si>
    <t>71986865091</t>
  </si>
  <si>
    <t>servicos-de-empresa-especializada-em-carpintaria-ricardo-ind-elenilson</t>
  </si>
  <si>
    <t>RICARDO ( IND ELENILSON)</t>
  </si>
  <si>
    <t>7193223546</t>
  </si>
  <si>
    <t>servicos-de-empresa-especializada-em-carpintaria-rodrigo-pessimo</t>
  </si>
  <si>
    <t>Rodrigo ( pessimo)</t>
  </si>
  <si>
    <t>servicos-de-empresa-especializada-em-marcenaria-andre-ind-agda</t>
  </si>
  <si>
    <t>ANDRE ( Ind Agda )</t>
  </si>
  <si>
    <t>SERVICOS DE EMPRESA ESPECIALIZADA EM MARCENARIA</t>
  </si>
  <si>
    <t>71986238655</t>
  </si>
  <si>
    <t>servicos-de-empresa-especializada-em-marcenaria-charles</t>
  </si>
  <si>
    <t>CHARLES</t>
  </si>
  <si>
    <t>71991353591</t>
  </si>
  <si>
    <t>servicos-de-empresa-especializada-em-marcenaria-claudio</t>
  </si>
  <si>
    <t>CLAUDIO</t>
  </si>
  <si>
    <t>servicos-de-empresa-especializada-em-marcenaria-francisco</t>
  </si>
  <si>
    <t>FRANCISCO</t>
  </si>
  <si>
    <t>71991277949</t>
  </si>
  <si>
    <t>servicos-de-empresa-especializada-em-marcenaria-milton</t>
  </si>
  <si>
    <t>MILTON</t>
  </si>
  <si>
    <t>71999994126</t>
  </si>
  <si>
    <t>servicos-de-empresa-especializada-em-marcenaria-ronaldo</t>
  </si>
  <si>
    <t>RONALDO</t>
  </si>
  <si>
    <t>71991970411</t>
  </si>
  <si>
    <t>servicos-de-empresa-especializada-em-reparos-e-pequenas-obras-reformas-e-construcao-junior-ind-agda</t>
  </si>
  <si>
    <t>JUNIOR ( ind agda)</t>
  </si>
  <si>
    <t>SERVICOS DE EMPRESA ESPECIALIZADA EM REPAROS E PEQUENAS OBRAS , REFORMAS E CONSTRUCAO</t>
  </si>
  <si>
    <t>71982233422</t>
  </si>
  <si>
    <t>servicos-de-manutencao-ar-condicionado-marcelo-fontes-ind-agda</t>
  </si>
  <si>
    <t>MARCELO FONTES ( Ind agda)</t>
  </si>
  <si>
    <t>SERVICOS DE MANUTENCAO AR CONDICIONADO</t>
  </si>
  <si>
    <t>71981992997</t>
  </si>
  <si>
    <t>servicos-de-manutencao-ar-condicionado-neemias</t>
  </si>
  <si>
    <t>NEEMIAS</t>
  </si>
  <si>
    <t>71985353976</t>
  </si>
  <si>
    <t>transporte-uber-andreia</t>
  </si>
  <si>
    <t>ANDREIA</t>
  </si>
  <si>
    <t>transporte UBER</t>
  </si>
  <si>
    <t>71993800060</t>
  </si>
  <si>
    <t>transporte-uber-drica</t>
  </si>
  <si>
    <t>DRICA</t>
  </si>
  <si>
    <t>719875492</t>
  </si>
  <si>
    <t>transporte-uber-maria</t>
  </si>
  <si>
    <t>MARIA</t>
  </si>
  <si>
    <t>71991677933</t>
  </si>
  <si>
    <t>INSTRUÇÕES DE USO</t>
  </si>
  <si>
    <t>1. Edite APENAS a coluna 'Nome Corrigido ✏️' (fundo amarelo) na aba 'Prestadores'.</t>
  </si>
  <si>
    <t>2. Não altere nem apague a coluna 'ID (não editar)' — ela é usada para atualizar o registro correto.</t>
  </si>
  <si>
    <t>3. Salve o arquivo como .xlsx.</t>
  </si>
  <si>
    <t>4. Execute o script importar_prestadores.py para aplicar as correções.</t>
  </si>
  <si>
    <t>Poço artesiano</t>
  </si>
  <si>
    <t>Obras gerais (incluindo pintura)</t>
  </si>
  <si>
    <t>Piscineiro</t>
  </si>
  <si>
    <t>Eletricista</t>
  </si>
  <si>
    <t>Irrigação</t>
  </si>
  <si>
    <t>Marcenaria</t>
  </si>
  <si>
    <t>Carreto</t>
  </si>
  <si>
    <t>Jardinagem</t>
  </si>
  <si>
    <t>Toldos</t>
  </si>
  <si>
    <t>Instalação de gás</t>
  </si>
  <si>
    <t>Pintor residencial</t>
  </si>
  <si>
    <t>Transporte (Uber)</t>
  </si>
  <si>
    <t>Podologia</t>
  </si>
  <si>
    <t>Obras gerais (empresa)</t>
  </si>
  <si>
    <t>Ar Condicionado</t>
  </si>
  <si>
    <t>Dedetização</t>
  </si>
  <si>
    <t>Gráfica</t>
  </si>
  <si>
    <t>Estofador</t>
  </si>
  <si>
    <t>Gás (entrega)</t>
  </si>
  <si>
    <t>Montador de móveis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</si>
</sst>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8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K2" sqref="K2:K22"/>
    </sheetView>
  </sheetViews>
  <sheetFormatPr defaultRowHeight="14.4" x14ac:dyDescent="0.3"/>
  <cols>
    <col min="1" max="1" width="30" customWidth="1"/>
    <col min="2" max="3" width="35" customWidth="1"/>
    <col min="4" max="5" width="22" customWidth="1"/>
    <col min="6" max="6" width="12" customWidth="1"/>
    <col min="7" max="8" width="18" customWidth="1"/>
    <col min="10" max="10" width="12.109375" bestFit="1" customWidth="1"/>
  </cols>
  <sheetData>
    <row r="1" spans="1:14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</row>
    <row r="2" spans="1:14" x14ac:dyDescent="0.3">
      <c r="A2" s="2" t="s">
        <v>115</v>
      </c>
      <c r="B2" s="2" t="s">
        <v>116</v>
      </c>
      <c r="C2" s="3" t="s">
        <v>116</v>
      </c>
      <c r="D2" s="2" t="s">
        <v>117</v>
      </c>
      <c r="E2" s="2" t="str">
        <f>VLOOKUP(D2,$M$2:$N$22,2,FALSE)</f>
        <v>Poço artesiano</v>
      </c>
      <c r="F2" s="2"/>
      <c r="G2" s="2" t="s">
        <v>118</v>
      </c>
      <c r="H2" s="2" t="s">
        <v>118</v>
      </c>
      <c r="L2" t="s">
        <v>220</v>
      </c>
      <c r="M2" s="2" t="s">
        <v>117</v>
      </c>
      <c r="N2" t="s">
        <v>220</v>
      </c>
    </row>
    <row r="3" spans="1:14" x14ac:dyDescent="0.3">
      <c r="A3" s="2" t="s">
        <v>56</v>
      </c>
      <c r="B3" s="2" t="s">
        <v>57</v>
      </c>
      <c r="C3" s="3" t="s">
        <v>57</v>
      </c>
      <c r="D3" s="2" t="s">
        <v>58</v>
      </c>
      <c r="E3" s="2" t="str">
        <f t="shared" ref="E3:E66" si="0">VLOOKUP(D3,$M$2:$N$22,2,FALSE)</f>
        <v>Obras gerais (incluindo pintura)</v>
      </c>
      <c r="F3" s="2"/>
      <c r="G3" s="2" t="s">
        <v>59</v>
      </c>
      <c r="H3" s="2" t="s">
        <v>59</v>
      </c>
      <c r="L3" t="s">
        <v>221</v>
      </c>
      <c r="M3" s="2" t="s">
        <v>58</v>
      </c>
      <c r="N3" t="s">
        <v>221</v>
      </c>
    </row>
    <row r="4" spans="1:14" x14ac:dyDescent="0.3">
      <c r="A4" s="2" t="s">
        <v>60</v>
      </c>
      <c r="B4" s="2" t="s">
        <v>61</v>
      </c>
      <c r="C4" s="3" t="s">
        <v>61</v>
      </c>
      <c r="D4" s="2" t="s">
        <v>58</v>
      </c>
      <c r="E4" s="2" t="str">
        <f t="shared" si="0"/>
        <v>Obras gerais (incluindo pintura)</v>
      </c>
      <c r="F4" s="2"/>
      <c r="G4" s="2" t="s">
        <v>62</v>
      </c>
      <c r="H4" s="2" t="s">
        <v>62</v>
      </c>
      <c r="L4" t="s">
        <v>222</v>
      </c>
      <c r="M4" s="2" t="s">
        <v>106</v>
      </c>
      <c r="N4" t="s">
        <v>222</v>
      </c>
    </row>
    <row r="5" spans="1:14" x14ac:dyDescent="0.3">
      <c r="A5" s="2" t="s">
        <v>104</v>
      </c>
      <c r="B5" s="2" t="s">
        <v>105</v>
      </c>
      <c r="C5" s="3" t="s">
        <v>105</v>
      </c>
      <c r="D5" s="2" t="s">
        <v>106</v>
      </c>
      <c r="E5" s="2" t="str">
        <f t="shared" si="0"/>
        <v>Piscineiro</v>
      </c>
      <c r="F5" s="2"/>
      <c r="G5" s="2"/>
      <c r="H5" s="2"/>
      <c r="L5" t="s">
        <v>224</v>
      </c>
      <c r="M5" s="2" t="s">
        <v>41</v>
      </c>
      <c r="N5" t="s">
        <v>224</v>
      </c>
    </row>
    <row r="6" spans="1:14" x14ac:dyDescent="0.3">
      <c r="A6" s="2" t="s">
        <v>39</v>
      </c>
      <c r="B6" s="2" t="s">
        <v>40</v>
      </c>
      <c r="C6" s="3" t="s">
        <v>40</v>
      </c>
      <c r="D6" s="2" t="s">
        <v>41</v>
      </c>
      <c r="E6" s="2" t="str">
        <f t="shared" si="0"/>
        <v>Irrigação</v>
      </c>
      <c r="F6" s="2"/>
      <c r="G6" s="2" t="s">
        <v>42</v>
      </c>
      <c r="H6" s="2" t="s">
        <v>42</v>
      </c>
      <c r="L6" t="s">
        <v>225</v>
      </c>
      <c r="M6" s="2" t="s">
        <v>178</v>
      </c>
      <c r="N6" t="s">
        <v>225</v>
      </c>
    </row>
    <row r="7" spans="1:14" x14ac:dyDescent="0.3">
      <c r="A7" s="2" t="s">
        <v>119</v>
      </c>
      <c r="B7" s="2" t="s">
        <v>40</v>
      </c>
      <c r="C7" s="3" t="s">
        <v>40</v>
      </c>
      <c r="D7" s="2" t="s">
        <v>117</v>
      </c>
      <c r="E7" s="2" t="str">
        <f t="shared" si="0"/>
        <v>Poço artesiano</v>
      </c>
      <c r="F7" s="2"/>
      <c r="G7" s="2" t="s">
        <v>120</v>
      </c>
      <c r="H7" s="2" t="s">
        <v>120</v>
      </c>
      <c r="L7" t="s">
        <v>231</v>
      </c>
      <c r="M7" s="2" t="s">
        <v>207</v>
      </c>
      <c r="N7" t="s">
        <v>231</v>
      </c>
    </row>
    <row r="8" spans="1:14" x14ac:dyDescent="0.3">
      <c r="A8" s="2" t="s">
        <v>121</v>
      </c>
      <c r="B8" s="2" t="s">
        <v>122</v>
      </c>
      <c r="C8" s="3" t="s">
        <v>122</v>
      </c>
      <c r="D8" s="2" t="s">
        <v>117</v>
      </c>
      <c r="E8" s="2" t="str">
        <f t="shared" si="0"/>
        <v>Poço artesiano</v>
      </c>
      <c r="F8" s="2"/>
      <c r="G8" s="2" t="s">
        <v>123</v>
      </c>
      <c r="H8" s="2" t="s">
        <v>123</v>
      </c>
      <c r="L8" t="s">
        <v>229</v>
      </c>
      <c r="M8" s="2" t="s">
        <v>33</v>
      </c>
      <c r="N8" t="s">
        <v>229</v>
      </c>
    </row>
    <row r="9" spans="1:14" x14ac:dyDescent="0.3">
      <c r="A9" s="2" t="s">
        <v>63</v>
      </c>
      <c r="B9" s="2" t="s">
        <v>64</v>
      </c>
      <c r="C9" s="3" t="s">
        <v>64</v>
      </c>
      <c r="D9" s="2" t="s">
        <v>58</v>
      </c>
      <c r="E9" s="2" t="str">
        <f t="shared" si="0"/>
        <v>Obras gerais (incluindo pintura)</v>
      </c>
      <c r="F9" s="2"/>
      <c r="G9" s="2" t="s">
        <v>65</v>
      </c>
      <c r="H9" s="2" t="s">
        <v>65</v>
      </c>
      <c r="L9" t="s">
        <v>230</v>
      </c>
      <c r="M9" s="2" t="s">
        <v>95</v>
      </c>
      <c r="N9" t="s">
        <v>230</v>
      </c>
    </row>
    <row r="10" spans="1:14" x14ac:dyDescent="0.3">
      <c r="A10" s="2" t="s">
        <v>176</v>
      </c>
      <c r="B10" s="2" t="s">
        <v>177</v>
      </c>
      <c r="C10" s="3" t="s">
        <v>177</v>
      </c>
      <c r="D10" s="2" t="s">
        <v>178</v>
      </c>
      <c r="E10" s="2" t="str">
        <f t="shared" si="0"/>
        <v>Marcenaria</v>
      </c>
      <c r="F10" s="2"/>
      <c r="G10" s="2" t="s">
        <v>179</v>
      </c>
      <c r="H10" s="2" t="s">
        <v>179</v>
      </c>
      <c r="L10" t="s">
        <v>226</v>
      </c>
      <c r="M10" s="2" t="s">
        <v>146</v>
      </c>
      <c r="N10" t="s">
        <v>226</v>
      </c>
    </row>
    <row r="11" spans="1:14" x14ac:dyDescent="0.3">
      <c r="A11" s="2" t="s">
        <v>205</v>
      </c>
      <c r="B11" s="2" t="s">
        <v>206</v>
      </c>
      <c r="C11" s="3" t="s">
        <v>206</v>
      </c>
      <c r="D11" s="2" t="s">
        <v>207</v>
      </c>
      <c r="E11" s="2" t="str">
        <f t="shared" si="0"/>
        <v>Transporte (Uber)</v>
      </c>
      <c r="F11" s="2"/>
      <c r="G11" s="2" t="s">
        <v>208</v>
      </c>
      <c r="H11" s="2" t="s">
        <v>208</v>
      </c>
      <c r="L11" t="s">
        <v>227</v>
      </c>
      <c r="M11" s="2" t="s">
        <v>18</v>
      </c>
      <c r="N11" t="s">
        <v>227</v>
      </c>
    </row>
    <row r="12" spans="1:14" x14ac:dyDescent="0.3">
      <c r="A12" s="2" t="s">
        <v>107</v>
      </c>
      <c r="B12" s="2" t="s">
        <v>108</v>
      </c>
      <c r="C12" s="3" t="s">
        <v>108</v>
      </c>
      <c r="D12" s="2" t="s">
        <v>106</v>
      </c>
      <c r="E12" s="2" t="str">
        <f t="shared" si="0"/>
        <v>Piscineiro</v>
      </c>
      <c r="F12" s="2"/>
      <c r="G12" s="2"/>
      <c r="H12" s="2"/>
      <c r="L12" t="s">
        <v>225</v>
      </c>
      <c r="M12" s="2" t="s">
        <v>163</v>
      </c>
      <c r="N12" t="s">
        <v>225</v>
      </c>
    </row>
    <row r="13" spans="1:14" x14ac:dyDescent="0.3">
      <c r="A13" s="2" t="s">
        <v>31</v>
      </c>
      <c r="B13" s="2" t="s">
        <v>32</v>
      </c>
      <c r="C13" s="3" t="s">
        <v>32</v>
      </c>
      <c r="D13" s="2" t="s">
        <v>33</v>
      </c>
      <c r="E13" s="2" t="str">
        <f t="shared" si="0"/>
        <v>Instalação de gás</v>
      </c>
      <c r="F13" s="2"/>
      <c r="G13" s="2" t="s">
        <v>34</v>
      </c>
      <c r="H13" s="2" t="s">
        <v>34</v>
      </c>
      <c r="L13" t="s">
        <v>228</v>
      </c>
      <c r="M13" s="2" t="s">
        <v>37</v>
      </c>
      <c r="N13" t="s">
        <v>228</v>
      </c>
    </row>
    <row r="14" spans="1:14" x14ac:dyDescent="0.3">
      <c r="A14" s="2" t="s">
        <v>124</v>
      </c>
      <c r="B14" s="2" t="s">
        <v>125</v>
      </c>
      <c r="C14" s="3" t="s">
        <v>125</v>
      </c>
      <c r="D14" s="2" t="s">
        <v>117</v>
      </c>
      <c r="E14" s="2" t="str">
        <f t="shared" si="0"/>
        <v>Poço artesiano</v>
      </c>
      <c r="F14" s="2"/>
      <c r="G14" s="2" t="s">
        <v>126</v>
      </c>
      <c r="H14" s="2" t="s">
        <v>126</v>
      </c>
      <c r="L14" t="s">
        <v>232</v>
      </c>
      <c r="M14" s="2" t="s">
        <v>47</v>
      </c>
      <c r="N14" t="s">
        <v>232</v>
      </c>
    </row>
    <row r="15" spans="1:14" x14ac:dyDescent="0.3">
      <c r="A15" s="2" t="s">
        <v>93</v>
      </c>
      <c r="B15" s="2" t="s">
        <v>94</v>
      </c>
      <c r="C15" s="3" t="s">
        <v>94</v>
      </c>
      <c r="D15" s="2" t="s">
        <v>95</v>
      </c>
      <c r="E15" s="2" t="str">
        <f t="shared" si="0"/>
        <v>Pintor residencial</v>
      </c>
      <c r="F15" s="2"/>
      <c r="G15" s="2"/>
      <c r="H15" s="2"/>
      <c r="L15" t="s">
        <v>233</v>
      </c>
      <c r="M15" s="2" t="s">
        <v>196</v>
      </c>
      <c r="N15" t="s">
        <v>233</v>
      </c>
    </row>
    <row r="16" spans="1:14" x14ac:dyDescent="0.3">
      <c r="A16" s="2" t="s">
        <v>180</v>
      </c>
      <c r="B16" s="2" t="s">
        <v>181</v>
      </c>
      <c r="C16" s="3" t="s">
        <v>181</v>
      </c>
      <c r="D16" s="2" t="s">
        <v>178</v>
      </c>
      <c r="E16" s="2" t="str">
        <f t="shared" si="0"/>
        <v>Marcenaria</v>
      </c>
      <c r="F16" s="2"/>
      <c r="G16" s="2" t="s">
        <v>182</v>
      </c>
      <c r="H16" s="2" t="s">
        <v>182</v>
      </c>
      <c r="L16" t="s">
        <v>223</v>
      </c>
      <c r="M16" s="2" t="s">
        <v>13</v>
      </c>
      <c r="N16" t="s">
        <v>223</v>
      </c>
    </row>
    <row r="17" spans="1:14" x14ac:dyDescent="0.3">
      <c r="A17" s="2" t="s">
        <v>183</v>
      </c>
      <c r="B17" s="2" t="s">
        <v>184</v>
      </c>
      <c r="C17" s="3" t="s">
        <v>184</v>
      </c>
      <c r="D17" s="2" t="s">
        <v>178</v>
      </c>
      <c r="E17" s="2" t="str">
        <f t="shared" si="0"/>
        <v>Marcenaria</v>
      </c>
      <c r="F17" s="2"/>
      <c r="G17" s="2"/>
      <c r="H17" s="2"/>
      <c r="L17" t="s">
        <v>234</v>
      </c>
      <c r="M17" s="2" t="s">
        <v>200</v>
      </c>
      <c r="N17" t="s">
        <v>234</v>
      </c>
    </row>
    <row r="18" spans="1:14" x14ac:dyDescent="0.3">
      <c r="A18" s="2" t="s">
        <v>209</v>
      </c>
      <c r="B18" s="2" t="s">
        <v>210</v>
      </c>
      <c r="C18" s="3" t="s">
        <v>210</v>
      </c>
      <c r="D18" s="2" t="s">
        <v>207</v>
      </c>
      <c r="E18" s="2" t="str">
        <f t="shared" si="0"/>
        <v>Transporte (Uber)</v>
      </c>
      <c r="F18" s="2"/>
      <c r="G18" s="2" t="s">
        <v>211</v>
      </c>
      <c r="H18" s="2" t="s">
        <v>211</v>
      </c>
      <c r="L18" t="s">
        <v>235</v>
      </c>
      <c r="M18" s="2" t="s">
        <v>9</v>
      </c>
      <c r="N18" t="s">
        <v>235</v>
      </c>
    </row>
    <row r="19" spans="1:14" x14ac:dyDescent="0.3">
      <c r="A19" s="2" t="s">
        <v>144</v>
      </c>
      <c r="B19" s="2" t="s">
        <v>145</v>
      </c>
      <c r="C19" s="3" t="s">
        <v>145</v>
      </c>
      <c r="D19" s="2" t="s">
        <v>146</v>
      </c>
      <c r="E19" s="2" t="str">
        <f t="shared" si="0"/>
        <v>Carreto</v>
      </c>
      <c r="F19" s="2"/>
      <c r="G19" s="2" t="s">
        <v>147</v>
      </c>
      <c r="H19" s="2" t="s">
        <v>147</v>
      </c>
      <c r="L19" t="s">
        <v>236</v>
      </c>
      <c r="M19" s="2" t="s">
        <v>29</v>
      </c>
      <c r="N19" t="s">
        <v>236</v>
      </c>
    </row>
    <row r="20" spans="1:14" x14ac:dyDescent="0.3">
      <c r="A20" s="2" t="s">
        <v>16</v>
      </c>
      <c r="B20" s="2" t="s">
        <v>17</v>
      </c>
      <c r="C20" s="3" t="s">
        <v>17</v>
      </c>
      <c r="D20" s="2" t="s">
        <v>18</v>
      </c>
      <c r="E20" s="2" t="str">
        <f t="shared" si="0"/>
        <v>Jardinagem</v>
      </c>
      <c r="F20" s="2"/>
      <c r="G20" s="2" t="s">
        <v>19</v>
      </c>
      <c r="H20" s="2" t="s">
        <v>19</v>
      </c>
      <c r="L20" t="s">
        <v>237</v>
      </c>
      <c r="M20" s="2" t="s">
        <v>25</v>
      </c>
      <c r="N20" t="s">
        <v>237</v>
      </c>
    </row>
    <row r="21" spans="1:14" x14ac:dyDescent="0.3">
      <c r="A21" s="2" t="s">
        <v>96</v>
      </c>
      <c r="B21" s="2" t="s">
        <v>97</v>
      </c>
      <c r="C21" s="3" t="s">
        <v>97</v>
      </c>
      <c r="D21" s="2" t="s">
        <v>95</v>
      </c>
      <c r="E21" s="2" t="str">
        <f t="shared" si="0"/>
        <v>Pintor residencial</v>
      </c>
      <c r="F21" s="2"/>
      <c r="G21" s="2"/>
      <c r="H21" s="2"/>
      <c r="L21" t="s">
        <v>238</v>
      </c>
      <c r="M21" s="2" t="s">
        <v>159</v>
      </c>
      <c r="N21" t="s">
        <v>238</v>
      </c>
    </row>
    <row r="22" spans="1:14" x14ac:dyDescent="0.3">
      <c r="A22" s="2" t="s">
        <v>66</v>
      </c>
      <c r="B22" s="2" t="s">
        <v>67</v>
      </c>
      <c r="C22" s="3" t="s">
        <v>67</v>
      </c>
      <c r="D22" s="2" t="s">
        <v>58</v>
      </c>
      <c r="E22" s="2" t="str">
        <f t="shared" si="0"/>
        <v>Obras gerais (incluindo pintura)</v>
      </c>
      <c r="F22" s="2"/>
      <c r="G22" s="2" t="s">
        <v>68</v>
      </c>
      <c r="H22" s="2" t="s">
        <v>68</v>
      </c>
      <c r="L22" t="s">
        <v>239</v>
      </c>
      <c r="M22" s="2" t="s">
        <v>54</v>
      </c>
      <c r="N22" t="s">
        <v>239</v>
      </c>
    </row>
    <row r="23" spans="1:14" x14ac:dyDescent="0.3">
      <c r="A23" s="2" t="s">
        <v>161</v>
      </c>
      <c r="B23" s="2" t="s">
        <v>162</v>
      </c>
      <c r="C23" s="3" t="s">
        <v>162</v>
      </c>
      <c r="D23" s="2" t="s">
        <v>163</v>
      </c>
      <c r="E23" s="2" t="str">
        <f t="shared" si="0"/>
        <v>Marcenaria</v>
      </c>
      <c r="F23" s="2"/>
      <c r="G23" s="2" t="s">
        <v>164</v>
      </c>
      <c r="H23" s="2" t="s">
        <v>164</v>
      </c>
    </row>
    <row r="24" spans="1:14" x14ac:dyDescent="0.3">
      <c r="A24" s="2" t="s">
        <v>185</v>
      </c>
      <c r="B24" s="2" t="s">
        <v>186</v>
      </c>
      <c r="C24" s="3" t="s">
        <v>186</v>
      </c>
      <c r="D24" s="2" t="s">
        <v>178</v>
      </c>
      <c r="E24" s="2" t="str">
        <f t="shared" si="0"/>
        <v>Marcenaria</v>
      </c>
      <c r="F24" s="2"/>
      <c r="G24" s="2" t="s">
        <v>187</v>
      </c>
      <c r="H24" s="2" t="s">
        <v>187</v>
      </c>
    </row>
    <row r="25" spans="1:14" x14ac:dyDescent="0.3">
      <c r="A25" s="2" t="s">
        <v>165</v>
      </c>
      <c r="B25" s="2" t="s">
        <v>166</v>
      </c>
      <c r="C25" s="3" t="s">
        <v>166</v>
      </c>
      <c r="D25" s="2" t="s">
        <v>163</v>
      </c>
      <c r="E25" s="2" t="str">
        <f t="shared" si="0"/>
        <v>Marcenaria</v>
      </c>
      <c r="F25" s="2"/>
      <c r="G25" s="2" t="s">
        <v>167</v>
      </c>
      <c r="H25" s="2" t="s">
        <v>167</v>
      </c>
    </row>
    <row r="26" spans="1:14" x14ac:dyDescent="0.3">
      <c r="A26" s="2" t="s">
        <v>127</v>
      </c>
      <c r="B26" s="2" t="s">
        <v>128</v>
      </c>
      <c r="C26" s="3" t="s">
        <v>128</v>
      </c>
      <c r="D26" s="2" t="s">
        <v>117</v>
      </c>
      <c r="E26" s="2" t="str">
        <f t="shared" si="0"/>
        <v>Poço artesiano</v>
      </c>
      <c r="F26" s="2"/>
      <c r="G26" s="2" t="s">
        <v>129</v>
      </c>
      <c r="H26" s="2" t="s">
        <v>129</v>
      </c>
    </row>
    <row r="27" spans="1:14" x14ac:dyDescent="0.3">
      <c r="A27" s="2" t="s">
        <v>130</v>
      </c>
      <c r="B27" s="2" t="s">
        <v>131</v>
      </c>
      <c r="C27" s="3" t="s">
        <v>131</v>
      </c>
      <c r="D27" s="2" t="s">
        <v>117</v>
      </c>
      <c r="E27" s="2" t="str">
        <f t="shared" si="0"/>
        <v>Poço artesiano</v>
      </c>
      <c r="F27" s="2"/>
      <c r="G27" s="2"/>
      <c r="H27" s="2"/>
    </row>
    <row r="28" spans="1:14" x14ac:dyDescent="0.3">
      <c r="A28" s="2" t="s">
        <v>35</v>
      </c>
      <c r="B28" s="2" t="s">
        <v>36</v>
      </c>
      <c r="C28" s="3" t="s">
        <v>36</v>
      </c>
      <c r="D28" s="2" t="s">
        <v>37</v>
      </c>
      <c r="E28" s="2" t="str">
        <f t="shared" si="0"/>
        <v>Toldos</v>
      </c>
      <c r="F28" s="2"/>
      <c r="G28" s="2" t="s">
        <v>38</v>
      </c>
      <c r="H28" s="2" t="s">
        <v>38</v>
      </c>
    </row>
    <row r="29" spans="1:14" x14ac:dyDescent="0.3">
      <c r="A29" s="2" t="s">
        <v>132</v>
      </c>
      <c r="B29" s="2" t="s">
        <v>133</v>
      </c>
      <c r="C29" s="3" t="s">
        <v>133</v>
      </c>
      <c r="D29" s="2" t="s">
        <v>117</v>
      </c>
      <c r="E29" s="2" t="str">
        <f t="shared" si="0"/>
        <v>Poço artesiano</v>
      </c>
      <c r="F29" s="2"/>
      <c r="G29" s="2" t="s">
        <v>134</v>
      </c>
      <c r="H29" s="2" t="s">
        <v>134</v>
      </c>
    </row>
    <row r="30" spans="1:14" x14ac:dyDescent="0.3">
      <c r="A30" s="2" t="s">
        <v>45</v>
      </c>
      <c r="B30" s="2" t="s">
        <v>46</v>
      </c>
      <c r="C30" s="3" t="s">
        <v>46</v>
      </c>
      <c r="D30" s="2" t="s">
        <v>47</v>
      </c>
      <c r="E30" s="2" t="str">
        <f t="shared" si="0"/>
        <v>Podologia</v>
      </c>
      <c r="F30" s="2"/>
      <c r="G30" s="2" t="s">
        <v>48</v>
      </c>
      <c r="H30" s="2" t="s">
        <v>48</v>
      </c>
    </row>
    <row r="31" spans="1:14" x14ac:dyDescent="0.3">
      <c r="A31" s="2" t="s">
        <v>148</v>
      </c>
      <c r="B31" s="2" t="s">
        <v>149</v>
      </c>
      <c r="C31" s="3" t="s">
        <v>149</v>
      </c>
      <c r="D31" s="2" t="s">
        <v>146</v>
      </c>
      <c r="E31" s="2" t="str">
        <f t="shared" si="0"/>
        <v>Carreto</v>
      </c>
      <c r="F31" s="2"/>
      <c r="G31" s="2" t="s">
        <v>150</v>
      </c>
      <c r="H31" s="2" t="s">
        <v>150</v>
      </c>
    </row>
    <row r="32" spans="1:14" x14ac:dyDescent="0.3">
      <c r="A32" s="2" t="s">
        <v>20</v>
      </c>
      <c r="B32" s="2" t="s">
        <v>21</v>
      </c>
      <c r="C32" s="3" t="s">
        <v>21</v>
      </c>
      <c r="D32" s="2" t="s">
        <v>18</v>
      </c>
      <c r="E32" s="2" t="str">
        <f t="shared" si="0"/>
        <v>Jardinagem</v>
      </c>
      <c r="F32" s="2"/>
      <c r="G32" s="2" t="s">
        <v>22</v>
      </c>
      <c r="H32" s="2" t="s">
        <v>22</v>
      </c>
    </row>
    <row r="33" spans="1:8" x14ac:dyDescent="0.3">
      <c r="A33" s="2" t="s">
        <v>109</v>
      </c>
      <c r="B33" s="2" t="s">
        <v>110</v>
      </c>
      <c r="C33" s="3" t="s">
        <v>110</v>
      </c>
      <c r="D33" s="2" t="s">
        <v>106</v>
      </c>
      <c r="E33" s="2" t="str">
        <f t="shared" si="0"/>
        <v>Piscineiro</v>
      </c>
      <c r="F33" s="2"/>
      <c r="G33" s="2"/>
      <c r="H33" s="2"/>
    </row>
    <row r="34" spans="1:8" x14ac:dyDescent="0.3">
      <c r="A34" s="2" t="s">
        <v>111</v>
      </c>
      <c r="B34" s="2" t="s">
        <v>112</v>
      </c>
      <c r="C34" s="3" t="s">
        <v>112</v>
      </c>
      <c r="D34" s="2" t="s">
        <v>106</v>
      </c>
      <c r="E34" s="2" t="str">
        <f t="shared" si="0"/>
        <v>Piscineiro</v>
      </c>
      <c r="F34" s="2"/>
      <c r="G34" s="2"/>
      <c r="H34" s="2"/>
    </row>
    <row r="35" spans="1:8" x14ac:dyDescent="0.3">
      <c r="A35" s="2" t="s">
        <v>135</v>
      </c>
      <c r="B35" s="2" t="s">
        <v>136</v>
      </c>
      <c r="C35" s="3" t="s">
        <v>136</v>
      </c>
      <c r="D35" s="2" t="s">
        <v>117</v>
      </c>
      <c r="E35" s="2" t="str">
        <f t="shared" si="0"/>
        <v>Poço artesiano</v>
      </c>
      <c r="F35" s="2"/>
      <c r="G35" s="2" t="s">
        <v>137</v>
      </c>
      <c r="H35" s="2" t="s">
        <v>137</v>
      </c>
    </row>
    <row r="36" spans="1:8" x14ac:dyDescent="0.3">
      <c r="A36" s="2" t="s">
        <v>194</v>
      </c>
      <c r="B36" s="2" t="s">
        <v>195</v>
      </c>
      <c r="C36" s="3" t="s">
        <v>195</v>
      </c>
      <c r="D36" s="2" t="s">
        <v>196</v>
      </c>
      <c r="E36" s="2" t="str">
        <f t="shared" si="0"/>
        <v>Obras gerais (empresa)</v>
      </c>
      <c r="F36" s="2"/>
      <c r="G36" s="2" t="s">
        <v>197</v>
      </c>
      <c r="H36" s="2" t="s">
        <v>197</v>
      </c>
    </row>
    <row r="37" spans="1:8" x14ac:dyDescent="0.3">
      <c r="A37" s="2" t="s">
        <v>69</v>
      </c>
      <c r="B37" s="2" t="s">
        <v>70</v>
      </c>
      <c r="C37" s="3" t="s">
        <v>70</v>
      </c>
      <c r="D37" s="2" t="s">
        <v>58</v>
      </c>
      <c r="E37" s="2" t="str">
        <f t="shared" si="0"/>
        <v>Obras gerais (incluindo pintura)</v>
      </c>
      <c r="F37" s="2"/>
      <c r="G37" s="2" t="s">
        <v>71</v>
      </c>
      <c r="H37" s="2" t="s">
        <v>71</v>
      </c>
    </row>
    <row r="38" spans="1:8" x14ac:dyDescent="0.3">
      <c r="A38" s="2" t="s">
        <v>72</v>
      </c>
      <c r="B38" s="2" t="s">
        <v>73</v>
      </c>
      <c r="C38" s="3" t="s">
        <v>73</v>
      </c>
      <c r="D38" s="2" t="s">
        <v>58</v>
      </c>
      <c r="E38" s="2" t="str">
        <f t="shared" si="0"/>
        <v>Obras gerais (incluindo pintura)</v>
      </c>
      <c r="F38" s="2"/>
      <c r="G38" s="2" t="s">
        <v>74</v>
      </c>
      <c r="H38" s="2" t="s">
        <v>74</v>
      </c>
    </row>
    <row r="39" spans="1:8" x14ac:dyDescent="0.3">
      <c r="A39" s="2" t="s">
        <v>43</v>
      </c>
      <c r="B39" s="2" t="s">
        <v>44</v>
      </c>
      <c r="C39" s="3" t="s">
        <v>44</v>
      </c>
      <c r="D39" s="2" t="s">
        <v>41</v>
      </c>
      <c r="E39" s="2" t="str">
        <f t="shared" si="0"/>
        <v>Irrigação</v>
      </c>
      <c r="F39" s="2"/>
      <c r="G39" s="2"/>
      <c r="H39" s="2"/>
    </row>
    <row r="40" spans="1:8" x14ac:dyDescent="0.3">
      <c r="A40" s="2" t="s">
        <v>138</v>
      </c>
      <c r="B40" s="2" t="s">
        <v>139</v>
      </c>
      <c r="C40" s="3" t="s">
        <v>139</v>
      </c>
      <c r="D40" s="2" t="s">
        <v>117</v>
      </c>
      <c r="E40" s="2" t="str">
        <f t="shared" si="0"/>
        <v>Poço artesiano</v>
      </c>
      <c r="F40" s="2"/>
      <c r="G40" s="2" t="s">
        <v>140</v>
      </c>
      <c r="H40" s="2" t="s">
        <v>140</v>
      </c>
    </row>
    <row r="41" spans="1:8" x14ac:dyDescent="0.3">
      <c r="A41" s="2" t="s">
        <v>75</v>
      </c>
      <c r="B41" s="2" t="s">
        <v>76</v>
      </c>
      <c r="C41" s="3" t="s">
        <v>76</v>
      </c>
      <c r="D41" s="2" t="s">
        <v>58</v>
      </c>
      <c r="E41" s="2" t="str">
        <f t="shared" si="0"/>
        <v>Obras gerais (incluindo pintura)</v>
      </c>
      <c r="F41" s="2"/>
      <c r="G41" s="2" t="s">
        <v>77</v>
      </c>
      <c r="H41" s="2" t="s">
        <v>77</v>
      </c>
    </row>
    <row r="42" spans="1:8" x14ac:dyDescent="0.3">
      <c r="A42" s="2" t="s">
        <v>11</v>
      </c>
      <c r="B42" s="2" t="s">
        <v>12</v>
      </c>
      <c r="C42" s="3" t="s">
        <v>12</v>
      </c>
      <c r="D42" s="2" t="s">
        <v>13</v>
      </c>
      <c r="E42" s="2" t="str">
        <f t="shared" si="0"/>
        <v>Eletricista</v>
      </c>
      <c r="F42" s="2"/>
      <c r="G42" s="2"/>
      <c r="H42" s="2"/>
    </row>
    <row r="43" spans="1:8" x14ac:dyDescent="0.3">
      <c r="A43" s="2" t="s">
        <v>198</v>
      </c>
      <c r="B43" s="2" t="s">
        <v>199</v>
      </c>
      <c r="C43" s="3" t="s">
        <v>199</v>
      </c>
      <c r="D43" s="2" t="s">
        <v>200</v>
      </c>
      <c r="E43" s="2" t="str">
        <f t="shared" si="0"/>
        <v>Ar Condicionado</v>
      </c>
      <c r="F43" s="2"/>
      <c r="G43" s="2" t="s">
        <v>201</v>
      </c>
      <c r="H43" s="2" t="s">
        <v>201</v>
      </c>
    </row>
    <row r="44" spans="1:8" x14ac:dyDescent="0.3">
      <c r="A44" s="2" t="s">
        <v>78</v>
      </c>
      <c r="B44" s="2" t="s">
        <v>79</v>
      </c>
      <c r="C44" s="3" t="s">
        <v>79</v>
      </c>
      <c r="D44" s="2" t="s">
        <v>58</v>
      </c>
      <c r="E44" s="2" t="str">
        <f t="shared" si="0"/>
        <v>Obras gerais (incluindo pintura)</v>
      </c>
      <c r="F44" s="2"/>
      <c r="G44" s="2" t="s">
        <v>80</v>
      </c>
      <c r="H44" s="2" t="s">
        <v>80</v>
      </c>
    </row>
    <row r="45" spans="1:8" x14ac:dyDescent="0.3">
      <c r="A45" s="2" t="s">
        <v>113</v>
      </c>
      <c r="B45" s="2" t="s">
        <v>114</v>
      </c>
      <c r="C45" s="3" t="s">
        <v>114</v>
      </c>
      <c r="D45" s="2" t="s">
        <v>106</v>
      </c>
      <c r="E45" s="2" t="str">
        <f t="shared" si="0"/>
        <v>Piscineiro</v>
      </c>
      <c r="F45" s="2"/>
      <c r="G45" s="2"/>
      <c r="H45" s="2"/>
    </row>
    <row r="46" spans="1:8" x14ac:dyDescent="0.3">
      <c r="A46" s="2" t="s">
        <v>212</v>
      </c>
      <c r="B46" s="2" t="s">
        <v>213</v>
      </c>
      <c r="C46" s="3" t="s">
        <v>213</v>
      </c>
      <c r="D46" s="2" t="s">
        <v>207</v>
      </c>
      <c r="E46" s="2" t="str">
        <f t="shared" si="0"/>
        <v>Transporte (Uber)</v>
      </c>
      <c r="F46" s="2"/>
      <c r="G46" s="2" t="s">
        <v>214</v>
      </c>
      <c r="H46" s="2" t="s">
        <v>214</v>
      </c>
    </row>
    <row r="47" spans="1:8" x14ac:dyDescent="0.3">
      <c r="A47" s="2" t="s">
        <v>81</v>
      </c>
      <c r="B47" s="2" t="s">
        <v>82</v>
      </c>
      <c r="C47" s="3" t="s">
        <v>82</v>
      </c>
      <c r="D47" s="2" t="s">
        <v>58</v>
      </c>
      <c r="E47" s="2" t="str">
        <f t="shared" si="0"/>
        <v>Obras gerais (incluindo pintura)</v>
      </c>
      <c r="F47" s="2"/>
      <c r="G47" s="2" t="s">
        <v>83</v>
      </c>
      <c r="H47" s="2" t="s">
        <v>83</v>
      </c>
    </row>
    <row r="48" spans="1:8" x14ac:dyDescent="0.3">
      <c r="A48" s="2" t="s">
        <v>188</v>
      </c>
      <c r="B48" s="2" t="s">
        <v>189</v>
      </c>
      <c r="C48" s="3" t="s">
        <v>189</v>
      </c>
      <c r="D48" s="2" t="s">
        <v>178</v>
      </c>
      <c r="E48" s="2" t="str">
        <f t="shared" si="0"/>
        <v>Marcenaria</v>
      </c>
      <c r="F48" s="2"/>
      <c r="G48" s="2" t="s">
        <v>190</v>
      </c>
      <c r="H48" s="2" t="s">
        <v>190</v>
      </c>
    </row>
    <row r="49" spans="1:8" x14ac:dyDescent="0.3">
      <c r="A49" s="2" t="s">
        <v>151</v>
      </c>
      <c r="B49" s="2" t="s">
        <v>152</v>
      </c>
      <c r="C49" s="3" t="s">
        <v>152</v>
      </c>
      <c r="D49" s="2" t="s">
        <v>146</v>
      </c>
      <c r="E49" s="2" t="str">
        <f t="shared" si="0"/>
        <v>Carreto</v>
      </c>
      <c r="F49" s="2"/>
      <c r="G49" s="2" t="s">
        <v>153</v>
      </c>
      <c r="H49" s="2" t="s">
        <v>153</v>
      </c>
    </row>
    <row r="50" spans="1:8" x14ac:dyDescent="0.3">
      <c r="A50" s="2" t="s">
        <v>7</v>
      </c>
      <c r="B50" s="2" t="s">
        <v>8</v>
      </c>
      <c r="C50" s="3" t="s">
        <v>8</v>
      </c>
      <c r="D50" s="2" t="s">
        <v>9</v>
      </c>
      <c r="E50" s="2" t="str">
        <f t="shared" si="0"/>
        <v>Dedetização</v>
      </c>
      <c r="F50" s="2"/>
      <c r="G50" s="2" t="s">
        <v>10</v>
      </c>
      <c r="H50" s="2" t="s">
        <v>10</v>
      </c>
    </row>
    <row r="51" spans="1:8" x14ac:dyDescent="0.3">
      <c r="A51" s="2" t="s">
        <v>202</v>
      </c>
      <c r="B51" s="2" t="s">
        <v>203</v>
      </c>
      <c r="C51" s="3" t="s">
        <v>203</v>
      </c>
      <c r="D51" s="2" t="s">
        <v>200</v>
      </c>
      <c r="E51" s="2" t="str">
        <f t="shared" si="0"/>
        <v>Ar Condicionado</v>
      </c>
      <c r="F51" s="2"/>
      <c r="G51" s="2" t="s">
        <v>204</v>
      </c>
      <c r="H51" s="2" t="s">
        <v>204</v>
      </c>
    </row>
    <row r="52" spans="1:8" x14ac:dyDescent="0.3">
      <c r="A52" s="2" t="s">
        <v>84</v>
      </c>
      <c r="B52" s="2" t="s">
        <v>85</v>
      </c>
      <c r="C52" s="3" t="s">
        <v>85</v>
      </c>
      <c r="D52" s="2" t="s">
        <v>58</v>
      </c>
      <c r="E52" s="2" t="str">
        <f t="shared" si="0"/>
        <v>Obras gerais (incluindo pintura)</v>
      </c>
      <c r="F52" s="2"/>
      <c r="G52" s="2" t="s">
        <v>86</v>
      </c>
      <c r="H52" s="2" t="s">
        <v>86</v>
      </c>
    </row>
    <row r="53" spans="1:8" x14ac:dyDescent="0.3">
      <c r="A53" s="2" t="s">
        <v>168</v>
      </c>
      <c r="B53" s="2" t="s">
        <v>169</v>
      </c>
      <c r="C53" s="3" t="s">
        <v>169</v>
      </c>
      <c r="D53" s="2" t="s">
        <v>163</v>
      </c>
      <c r="E53" s="2" t="str">
        <f t="shared" si="0"/>
        <v>Marcenaria</v>
      </c>
      <c r="F53" s="2"/>
      <c r="G53" s="2" t="s">
        <v>170</v>
      </c>
      <c r="H53" s="2" t="s">
        <v>170</v>
      </c>
    </row>
    <row r="54" spans="1:8" x14ac:dyDescent="0.3">
      <c r="A54" s="2" t="s">
        <v>27</v>
      </c>
      <c r="B54" s="2" t="s">
        <v>28</v>
      </c>
      <c r="C54" s="3" t="s">
        <v>28</v>
      </c>
      <c r="D54" s="2" t="s">
        <v>29</v>
      </c>
      <c r="E54" s="2" t="str">
        <f t="shared" si="0"/>
        <v>Gráfica</v>
      </c>
      <c r="F54" s="2"/>
      <c r="G54" s="2" t="s">
        <v>30</v>
      </c>
      <c r="H54" s="2" t="s">
        <v>30</v>
      </c>
    </row>
    <row r="55" spans="1:8" x14ac:dyDescent="0.3">
      <c r="A55" s="2" t="s">
        <v>87</v>
      </c>
      <c r="B55" s="2" t="s">
        <v>88</v>
      </c>
      <c r="C55" s="3" t="s">
        <v>88</v>
      </c>
      <c r="D55" s="2" t="s">
        <v>58</v>
      </c>
      <c r="E55" s="2" t="str">
        <f t="shared" si="0"/>
        <v>Obras gerais (incluindo pintura)</v>
      </c>
      <c r="F55" s="2"/>
      <c r="G55" s="2" t="s">
        <v>89</v>
      </c>
      <c r="H55" s="2" t="s">
        <v>89</v>
      </c>
    </row>
    <row r="56" spans="1:8" x14ac:dyDescent="0.3">
      <c r="A56" s="2" t="s">
        <v>23</v>
      </c>
      <c r="B56" s="2" t="s">
        <v>24</v>
      </c>
      <c r="C56" s="3" t="s">
        <v>24</v>
      </c>
      <c r="D56" s="2" t="s">
        <v>25</v>
      </c>
      <c r="E56" s="2" t="str">
        <f t="shared" si="0"/>
        <v>Estofador</v>
      </c>
      <c r="F56" s="2"/>
      <c r="G56" s="2" t="s">
        <v>26</v>
      </c>
      <c r="H56" s="2" t="s">
        <v>26</v>
      </c>
    </row>
    <row r="57" spans="1:8" x14ac:dyDescent="0.3">
      <c r="A57" s="2" t="s">
        <v>14</v>
      </c>
      <c r="B57" s="2" t="s">
        <v>15</v>
      </c>
      <c r="C57" s="3" t="s">
        <v>15</v>
      </c>
      <c r="D57" s="2" t="s">
        <v>13</v>
      </c>
      <c r="E57" s="2" t="str">
        <f t="shared" si="0"/>
        <v>Eletricista</v>
      </c>
      <c r="F57" s="2"/>
      <c r="G57" s="2"/>
      <c r="H57" s="2"/>
    </row>
    <row r="58" spans="1:8" x14ac:dyDescent="0.3">
      <c r="A58" s="2" t="s">
        <v>154</v>
      </c>
      <c r="B58" s="2" t="s">
        <v>155</v>
      </c>
      <c r="C58" s="3" t="s">
        <v>155</v>
      </c>
      <c r="D58" s="2" t="s">
        <v>146</v>
      </c>
      <c r="E58" s="2" t="str">
        <f t="shared" si="0"/>
        <v>Carreto</v>
      </c>
      <c r="F58" s="2"/>
      <c r="G58" s="2" t="s">
        <v>156</v>
      </c>
      <c r="H58" s="2" t="s">
        <v>156</v>
      </c>
    </row>
    <row r="59" spans="1:8" x14ac:dyDescent="0.3">
      <c r="A59" s="2" t="s">
        <v>171</v>
      </c>
      <c r="B59" s="2" t="s">
        <v>172</v>
      </c>
      <c r="C59" s="3" t="s">
        <v>172</v>
      </c>
      <c r="D59" s="2" t="s">
        <v>163</v>
      </c>
      <c r="E59" s="2" t="str">
        <f t="shared" si="0"/>
        <v>Marcenaria</v>
      </c>
      <c r="F59" s="2"/>
      <c r="G59" s="2" t="s">
        <v>173</v>
      </c>
      <c r="H59" s="2" t="s">
        <v>173</v>
      </c>
    </row>
    <row r="60" spans="1:8" x14ac:dyDescent="0.3">
      <c r="A60" s="2" t="s">
        <v>174</v>
      </c>
      <c r="B60" s="2" t="s">
        <v>175</v>
      </c>
      <c r="C60" s="3" t="s">
        <v>175</v>
      </c>
      <c r="D60" s="2" t="s">
        <v>163</v>
      </c>
      <c r="E60" s="2" t="str">
        <f t="shared" si="0"/>
        <v>Marcenaria</v>
      </c>
      <c r="F60" s="2"/>
      <c r="G60" s="2"/>
      <c r="H60" s="2"/>
    </row>
    <row r="61" spans="1:8" x14ac:dyDescent="0.3">
      <c r="A61" s="2" t="s">
        <v>191</v>
      </c>
      <c r="B61" s="2" t="s">
        <v>192</v>
      </c>
      <c r="C61" s="3" t="s">
        <v>192</v>
      </c>
      <c r="D61" s="2" t="s">
        <v>178</v>
      </c>
      <c r="E61" s="2" t="str">
        <f t="shared" si="0"/>
        <v>Marcenaria</v>
      </c>
      <c r="F61" s="2"/>
      <c r="G61" s="2" t="s">
        <v>193</v>
      </c>
      <c r="H61" s="2" t="s">
        <v>193</v>
      </c>
    </row>
    <row r="62" spans="1:8" x14ac:dyDescent="0.3">
      <c r="A62" s="2" t="s">
        <v>141</v>
      </c>
      <c r="B62" s="2" t="s">
        <v>142</v>
      </c>
      <c r="C62" s="3" t="s">
        <v>142</v>
      </c>
      <c r="D62" s="2" t="s">
        <v>117</v>
      </c>
      <c r="E62" s="2" t="str">
        <f t="shared" si="0"/>
        <v>Poço artesiano</v>
      </c>
      <c r="F62" s="2"/>
      <c r="G62" s="2" t="s">
        <v>143</v>
      </c>
      <c r="H62" s="2" t="s">
        <v>143</v>
      </c>
    </row>
    <row r="63" spans="1:8" x14ac:dyDescent="0.3">
      <c r="A63" s="2" t="s">
        <v>49</v>
      </c>
      <c r="B63" s="2" t="s">
        <v>50</v>
      </c>
      <c r="C63" s="3" t="s">
        <v>50</v>
      </c>
      <c r="D63" s="2" t="s">
        <v>47</v>
      </c>
      <c r="E63" s="2" t="str">
        <f t="shared" si="0"/>
        <v>Podologia</v>
      </c>
      <c r="F63" s="2"/>
      <c r="G63" s="2" t="s">
        <v>51</v>
      </c>
      <c r="H63" s="2" t="s">
        <v>51</v>
      </c>
    </row>
    <row r="64" spans="1:8" x14ac:dyDescent="0.3">
      <c r="A64" s="2" t="s">
        <v>157</v>
      </c>
      <c r="B64" s="2" t="s">
        <v>158</v>
      </c>
      <c r="C64" s="3" t="s">
        <v>158</v>
      </c>
      <c r="D64" s="2" t="s">
        <v>159</v>
      </c>
      <c r="E64" s="2" t="str">
        <f t="shared" si="0"/>
        <v>Gás (entrega)</v>
      </c>
      <c r="F64" s="2"/>
      <c r="G64" s="2" t="s">
        <v>160</v>
      </c>
      <c r="H64" s="2" t="s">
        <v>160</v>
      </c>
    </row>
    <row r="65" spans="1:8" x14ac:dyDescent="0.3">
      <c r="A65" s="2" t="s">
        <v>98</v>
      </c>
      <c r="B65" s="2" t="s">
        <v>99</v>
      </c>
      <c r="C65" s="3" t="s">
        <v>99</v>
      </c>
      <c r="D65" s="2" t="s">
        <v>95</v>
      </c>
      <c r="E65" s="2" t="str">
        <f t="shared" si="0"/>
        <v>Pintor residencial</v>
      </c>
      <c r="F65" s="2"/>
      <c r="G65" s="2" t="s">
        <v>100</v>
      </c>
      <c r="H65" s="2" t="s">
        <v>100</v>
      </c>
    </row>
    <row r="66" spans="1:8" x14ac:dyDescent="0.3">
      <c r="A66" s="2" t="s">
        <v>52</v>
      </c>
      <c r="B66" s="2" t="s">
        <v>53</v>
      </c>
      <c r="C66" s="3" t="s">
        <v>53</v>
      </c>
      <c r="D66" s="2" t="s">
        <v>54</v>
      </c>
      <c r="E66" s="2" t="str">
        <f t="shared" si="0"/>
        <v>Montador de móveis</v>
      </c>
      <c r="F66" s="2"/>
      <c r="G66" s="2" t="s">
        <v>55</v>
      </c>
      <c r="H66" s="2" t="s">
        <v>55</v>
      </c>
    </row>
    <row r="67" spans="1:8" x14ac:dyDescent="0.3">
      <c r="A67" s="2" t="s">
        <v>101</v>
      </c>
      <c r="B67" s="2" t="s">
        <v>102</v>
      </c>
      <c r="C67" s="3" t="s">
        <v>102</v>
      </c>
      <c r="D67" s="2" t="s">
        <v>95</v>
      </c>
      <c r="E67" s="2" t="str">
        <f t="shared" ref="E67:E68" si="1">VLOOKUP(D67,$M$2:$N$22,2,FALSE)</f>
        <v>Pintor residencial</v>
      </c>
      <c r="F67" s="2"/>
      <c r="G67" s="2" t="s">
        <v>103</v>
      </c>
      <c r="H67" s="2" t="s">
        <v>103</v>
      </c>
    </row>
    <row r="68" spans="1:8" x14ac:dyDescent="0.3">
      <c r="A68" s="2" t="s">
        <v>90</v>
      </c>
      <c r="B68" s="2" t="s">
        <v>91</v>
      </c>
      <c r="C68" s="3" t="s">
        <v>91</v>
      </c>
      <c r="D68" s="2" t="s">
        <v>58</v>
      </c>
      <c r="E68" s="2" t="str">
        <f t="shared" si="1"/>
        <v>Obras gerais (incluindo pintura)</v>
      </c>
      <c r="F68" s="2"/>
      <c r="G68" s="2" t="s">
        <v>92</v>
      </c>
      <c r="H68" s="2" t="s">
        <v>92</v>
      </c>
    </row>
  </sheetData>
  <autoFilter ref="A1:H68" xr:uid="{00000000-0009-0000-0000-000000000000}">
    <sortState xmlns:xlrd2="http://schemas.microsoft.com/office/spreadsheetml/2017/richdata2" ref="A2:H68">
      <sortCondition ref="B2:B68"/>
      <sortCondition ref="A2:A68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4.4" x14ac:dyDescent="0.3"/>
  <cols>
    <col min="1" max="1" width="80" customWidth="1"/>
  </cols>
  <sheetData>
    <row r="1" spans="1:1" x14ac:dyDescent="0.3">
      <c r="A1" s="4" t="s">
        <v>215</v>
      </c>
    </row>
    <row r="2" spans="1:1" x14ac:dyDescent="0.3">
      <c r="A2" s="4"/>
    </row>
    <row r="3" spans="1:1" x14ac:dyDescent="0.3">
      <c r="A3" s="4" t="s">
        <v>216</v>
      </c>
    </row>
    <row r="4" spans="1:1" x14ac:dyDescent="0.3">
      <c r="A4" s="4" t="s">
        <v>217</v>
      </c>
    </row>
    <row r="5" spans="1:1" x14ac:dyDescent="0.3">
      <c r="A5" s="4" t="s">
        <v>218</v>
      </c>
    </row>
    <row r="6" spans="1:1" x14ac:dyDescent="0.3">
      <c r="A6" s="4" t="s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Prestadores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Salles</cp:lastModifiedBy>
  <dcterms:created xsi:type="dcterms:W3CDTF">2026-03-22T22:01:09Z</dcterms:created>
  <dcterms:modified xsi:type="dcterms:W3CDTF">2026-03-22T22:34:54Z</dcterms:modified>
</cp:coreProperties>
</file>